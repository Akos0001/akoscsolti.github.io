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osc\Desktop\Uni\Neutronfluxus projekt\Detektor kalibráció\Általános módszer\"/>
    </mc:Choice>
  </mc:AlternateContent>
  <xr:revisionPtr revIDLastSave="0" documentId="13_ncr:1_{940BABF9-21CA-4A9F-AEDB-2176A80165A4}" xr6:coauthVersionLast="47" xr6:coauthVersionMax="47" xr10:uidLastSave="{00000000-0000-0000-0000-000000000000}"/>
  <bookViews>
    <workbookView xWindow="-108" yWindow="-108" windowWidth="23256" windowHeight="13896" xr2:uid="{BBEEEB40-95FD-4015-8163-211D76F9AAB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1" l="1"/>
  <c r="L10" i="1"/>
  <c r="L3" i="1"/>
  <c r="L4" i="1"/>
  <c r="L5" i="1"/>
  <c r="L6" i="1"/>
  <c r="L7" i="1"/>
  <c r="L8" i="1"/>
  <c r="L9" i="1"/>
  <c r="L11" i="1"/>
  <c r="L2" i="1"/>
  <c r="H3" i="1"/>
  <c r="H4" i="1"/>
  <c r="H5" i="1"/>
  <c r="H6" i="1"/>
  <c r="H7" i="1"/>
  <c r="H8" i="1"/>
  <c r="H9" i="1"/>
  <c r="H11" i="1"/>
  <c r="H2" i="1"/>
</calcChain>
</file>

<file path=xl/sharedStrings.xml><?xml version="1.0" encoding="utf-8"?>
<sst xmlns="http://schemas.openxmlformats.org/spreadsheetml/2006/main" count="23" uniqueCount="17">
  <si>
    <t>Mn-54</t>
  </si>
  <si>
    <t>Co-60</t>
  </si>
  <si>
    <t>Cs-137</t>
  </si>
  <si>
    <t>Ba-133</t>
  </si>
  <si>
    <t>start of meas</t>
  </si>
  <si>
    <t>ref time</t>
  </si>
  <si>
    <t>nuclide</t>
  </si>
  <si>
    <t>delta t (y)</t>
  </si>
  <si>
    <t>ref activity (kBq)</t>
  </si>
  <si>
    <t>half life (y)</t>
  </si>
  <si>
    <t>t_live (s)</t>
  </si>
  <si>
    <t>sigma_I (%)</t>
  </si>
  <si>
    <t>I (count)</t>
  </si>
  <si>
    <t>k (%)</t>
  </si>
  <si>
    <t>E (keV)</t>
  </si>
  <si>
    <t>decay const (1/y)</t>
  </si>
  <si>
    <t>sigma_ref act (kBq)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</si>
</sst>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yyyy/mm/dd\ hh:mm:ss"/>
    <numFmt numFmtId="166" formatCode="0.0000"/>
    <numFmt numFmtId="167" formatCode="0.00000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56BB-66C6-412A-8A49-E39943DA95C6}">
  <dimension ref="A1:P25"/>
  <sheetViews>
    <sheetView tabSelected="1" workbookViewId="0">
      <selection activeCell="C17" sqref="C17"/>
    </sheetView>
  </sheetViews>
  <sheetFormatPr defaultRowHeight="14.4" x14ac:dyDescent="0.3"/>
  <cols>
    <col min="1" max="1" width="10.6640625" style="2" customWidth="1"/>
    <col min="2" max="2" width="11.33203125" style="2" customWidth="1"/>
    <col min="3" max="3" width="11.21875" style="2" customWidth="1"/>
    <col min="4" max="4" width="10.6640625" style="2" customWidth="1"/>
    <col min="5" max="5" width="13.6640625" style="2" bestFit="1" customWidth="1"/>
    <col min="6" max="6" width="21.44140625" style="2" customWidth="1"/>
    <col min="7" max="7" width="21.33203125" style="2" customWidth="1"/>
    <col min="8" max="8" width="14" style="2" customWidth="1"/>
    <col min="9" max="9" width="14.77734375" style="2" bestFit="1" customWidth="1"/>
    <col min="10" max="10" width="17" style="2" bestFit="1" customWidth="1"/>
    <col min="11" max="11" width="12.33203125" style="2" customWidth="1"/>
    <col min="12" max="12" width="15.21875" style="2" bestFit="1" customWidth="1"/>
    <col min="13" max="13" width="8.88671875" style="2"/>
    <col min="14" max="14" width="10.109375" style="2" bestFit="1" customWidth="1"/>
    <col min="15" max="15" width="8.88671875" style="2"/>
    <col min="16" max="16" width="31.77734375" style="2" customWidth="1"/>
    <col min="17" max="16384" width="8.88671875" style="2"/>
  </cols>
  <sheetData>
    <row r="1" spans="1:16" x14ac:dyDescent="0.3">
      <c r="A1" s="5" t="s">
        <v>14</v>
      </c>
      <c r="B1" s="5" t="s">
        <v>13</v>
      </c>
      <c r="C1" s="5" t="s">
        <v>12</v>
      </c>
      <c r="D1" s="5" t="s">
        <v>11</v>
      </c>
      <c r="E1" s="5" t="s">
        <v>10</v>
      </c>
      <c r="F1" s="5" t="s">
        <v>4</v>
      </c>
      <c r="G1" s="5" t="s">
        <v>5</v>
      </c>
      <c r="H1" s="5" t="s">
        <v>7</v>
      </c>
      <c r="I1" s="5" t="s">
        <v>8</v>
      </c>
      <c r="J1" s="5" t="s">
        <v>16</v>
      </c>
      <c r="K1" s="5" t="s">
        <v>9</v>
      </c>
      <c r="L1" s="5" t="s">
        <v>15</v>
      </c>
      <c r="M1" s="5" t="s">
        <v>6</v>
      </c>
    </row>
    <row r="2" spans="1:16" x14ac:dyDescent="0.3">
      <c r="A2" s="4">
        <v>834.85</v>
      </c>
      <c r="B2" s="4">
        <v>99.98</v>
      </c>
      <c r="C2" s="4">
        <v>83590</v>
      </c>
      <c r="D2" s="6">
        <v>0.35</v>
      </c>
      <c r="E2" s="4">
        <v>6118.6</v>
      </c>
      <c r="F2" s="7">
        <v>46296.381249999999</v>
      </c>
      <c r="G2" s="7">
        <v>45748</v>
      </c>
      <c r="H2" s="8">
        <f>(F2-G2)/365.25</f>
        <v>1.5013860369609817</v>
      </c>
      <c r="I2" s="4">
        <v>11.7</v>
      </c>
      <c r="J2" s="4">
        <v>0.1</v>
      </c>
      <c r="K2" s="8">
        <v>0.85472999999999999</v>
      </c>
      <c r="L2" s="8">
        <f>LN(2)/K2</f>
        <v>0.81095454770505926</v>
      </c>
      <c r="M2" s="4" t="s">
        <v>0</v>
      </c>
      <c r="N2" s="1"/>
      <c r="O2" s="3"/>
      <c r="P2" s="1"/>
    </row>
    <row r="3" spans="1:16" x14ac:dyDescent="0.3">
      <c r="A3" s="4">
        <v>1173.23</v>
      </c>
      <c r="B3" s="4">
        <v>99.85</v>
      </c>
      <c r="C3" s="4">
        <v>41090.980000000003</v>
      </c>
      <c r="D3" s="4">
        <v>0.5</v>
      </c>
      <c r="E3" s="6">
        <v>455.35</v>
      </c>
      <c r="F3" s="7">
        <v>46296.456250000003</v>
      </c>
      <c r="G3" s="7">
        <v>45748</v>
      </c>
      <c r="H3" s="8">
        <f t="shared" ref="H3:H11" si="0">(F3-G3)/365.25</f>
        <v>1.5015913757700285</v>
      </c>
      <c r="I3" s="4">
        <v>37.4</v>
      </c>
      <c r="J3" s="4">
        <v>0.4</v>
      </c>
      <c r="K3" s="8">
        <v>5.2710999999999997</v>
      </c>
      <c r="L3" s="8">
        <f t="shared" ref="L3:L11" si="1">LN(2)/K3</f>
        <v>0.13149953151333599</v>
      </c>
      <c r="M3" s="4" t="s">
        <v>1</v>
      </c>
      <c r="N3" s="1"/>
      <c r="O3" s="3"/>
    </row>
    <row r="4" spans="1:16" x14ac:dyDescent="0.3">
      <c r="A4" s="4">
        <v>1332.49</v>
      </c>
      <c r="B4" s="4">
        <v>99.98</v>
      </c>
      <c r="C4" s="4">
        <v>36358.39</v>
      </c>
      <c r="D4" s="6">
        <v>0.53</v>
      </c>
      <c r="E4" s="4">
        <v>455.35</v>
      </c>
      <c r="F4" s="7">
        <v>46296.456250000003</v>
      </c>
      <c r="G4" s="7">
        <v>45748</v>
      </c>
      <c r="H4" s="8">
        <f t="shared" si="0"/>
        <v>1.5015913757700285</v>
      </c>
      <c r="I4" s="4">
        <v>37.4</v>
      </c>
      <c r="J4" s="4">
        <v>0.4</v>
      </c>
      <c r="K4" s="8">
        <v>5.2710999999999997</v>
      </c>
      <c r="L4" s="8">
        <f t="shared" si="1"/>
        <v>0.13149953151333599</v>
      </c>
      <c r="M4" s="4" t="s">
        <v>1</v>
      </c>
      <c r="N4" s="1"/>
      <c r="O4" s="3"/>
    </row>
    <row r="5" spans="1:16" x14ac:dyDescent="0.3">
      <c r="A5" s="4">
        <v>661.66</v>
      </c>
      <c r="B5" s="4">
        <v>85.1</v>
      </c>
      <c r="C5" s="4">
        <v>73387.91</v>
      </c>
      <c r="D5" s="6">
        <v>0.37</v>
      </c>
      <c r="E5" s="6">
        <v>459.47</v>
      </c>
      <c r="F5" s="7">
        <v>46296.463194444441</v>
      </c>
      <c r="G5" s="7">
        <v>45748</v>
      </c>
      <c r="H5" s="8">
        <f t="shared" si="0"/>
        <v>1.5016103886226992</v>
      </c>
      <c r="I5" s="4">
        <v>38.9</v>
      </c>
      <c r="J5" s="4">
        <v>0.4</v>
      </c>
      <c r="K5" s="8">
        <v>30.018000000000001</v>
      </c>
      <c r="L5" s="8">
        <f t="shared" si="1"/>
        <v>2.3091051387832143E-2</v>
      </c>
      <c r="M5" s="4" t="s">
        <v>2</v>
      </c>
      <c r="N5" s="1"/>
      <c r="O5" s="3"/>
    </row>
    <row r="6" spans="1:16" x14ac:dyDescent="0.3">
      <c r="A6" s="6">
        <v>53.16</v>
      </c>
      <c r="B6" s="4">
        <v>2.16</v>
      </c>
      <c r="C6" s="4">
        <v>17668</v>
      </c>
      <c r="D6" s="4">
        <v>0.97</v>
      </c>
      <c r="E6" s="4">
        <v>5675.19</v>
      </c>
      <c r="F6" s="7">
        <v>46296.475694444445</v>
      </c>
      <c r="G6" s="7">
        <v>35370</v>
      </c>
      <c r="H6" s="8">
        <f t="shared" si="0"/>
        <v>29.915060080614499</v>
      </c>
      <c r="I6" s="4">
        <v>39.369999999999997</v>
      </c>
      <c r="J6" s="4">
        <v>0.5</v>
      </c>
      <c r="K6" s="8">
        <v>10.539</v>
      </c>
      <c r="L6" s="8">
        <f t="shared" si="1"/>
        <v>6.5769729628991871E-2</v>
      </c>
      <c r="M6" s="4" t="s">
        <v>3</v>
      </c>
      <c r="N6" s="1"/>
      <c r="O6" s="3"/>
    </row>
    <row r="7" spans="1:16" x14ac:dyDescent="0.3">
      <c r="A7" s="4">
        <v>81</v>
      </c>
      <c r="B7" s="4">
        <v>32.9</v>
      </c>
      <c r="C7" s="4">
        <v>270631.44</v>
      </c>
      <c r="D7" s="4">
        <v>0.2</v>
      </c>
      <c r="E7" s="4">
        <v>5675.19</v>
      </c>
      <c r="F7" s="7">
        <v>46296.475694444445</v>
      </c>
      <c r="G7" s="7">
        <v>35370</v>
      </c>
      <c r="H7" s="8">
        <f t="shared" si="0"/>
        <v>29.915060080614499</v>
      </c>
      <c r="I7" s="4">
        <v>39.369999999999997</v>
      </c>
      <c r="J7" s="4">
        <v>0.5</v>
      </c>
      <c r="K7" s="8">
        <v>10.539</v>
      </c>
      <c r="L7" s="8">
        <f t="shared" si="1"/>
        <v>6.5769729628991871E-2</v>
      </c>
      <c r="M7" s="4" t="s">
        <v>3</v>
      </c>
      <c r="N7" s="1"/>
      <c r="O7" s="3"/>
    </row>
    <row r="8" spans="1:16" x14ac:dyDescent="0.3">
      <c r="A8" s="4">
        <v>276.39999999999998</v>
      </c>
      <c r="B8" s="4">
        <v>7.16</v>
      </c>
      <c r="C8" s="4">
        <v>26275.34</v>
      </c>
      <c r="D8" s="4">
        <v>0.63</v>
      </c>
      <c r="E8" s="4">
        <v>5675.19</v>
      </c>
      <c r="F8" s="7">
        <v>46296.475694444445</v>
      </c>
      <c r="G8" s="7">
        <v>35370</v>
      </c>
      <c r="H8" s="8">
        <f t="shared" si="0"/>
        <v>29.915060080614499</v>
      </c>
      <c r="I8" s="4">
        <v>39.369999999999997</v>
      </c>
      <c r="J8" s="4">
        <v>0.5</v>
      </c>
      <c r="K8" s="8">
        <v>10.539</v>
      </c>
      <c r="L8" s="8">
        <f t="shared" si="1"/>
        <v>6.5769729628991871E-2</v>
      </c>
      <c r="M8" s="4" t="s">
        <v>3</v>
      </c>
      <c r="N8" s="1"/>
      <c r="O8" s="3"/>
    </row>
    <row r="9" spans="1:16" x14ac:dyDescent="0.3">
      <c r="A9" s="4">
        <v>302.85000000000002</v>
      </c>
      <c r="B9" s="4">
        <v>18.34</v>
      </c>
      <c r="C9" s="4">
        <v>60896.23</v>
      </c>
      <c r="D9" s="4">
        <v>0.41</v>
      </c>
      <c r="E9" s="4">
        <v>5675.19</v>
      </c>
      <c r="F9" s="7">
        <v>46296.475694444445</v>
      </c>
      <c r="G9" s="7">
        <v>35370</v>
      </c>
      <c r="H9" s="8">
        <f t="shared" si="0"/>
        <v>29.915060080614499</v>
      </c>
      <c r="I9" s="4">
        <v>39.369999999999997</v>
      </c>
      <c r="J9" s="4">
        <v>0.5</v>
      </c>
      <c r="K9" s="8">
        <v>10.539</v>
      </c>
      <c r="L9" s="8">
        <f t="shared" si="1"/>
        <v>6.5769729628991871E-2</v>
      </c>
      <c r="M9" s="4" t="s">
        <v>3</v>
      </c>
      <c r="N9" s="1"/>
      <c r="O9" s="3"/>
    </row>
    <row r="10" spans="1:16" x14ac:dyDescent="0.3">
      <c r="A10" s="4">
        <v>356.01</v>
      </c>
      <c r="B10" s="4">
        <v>62.05</v>
      </c>
      <c r="C10" s="4">
        <v>173852.58</v>
      </c>
      <c r="D10" s="4">
        <v>0.24</v>
      </c>
      <c r="E10" s="4">
        <v>5675.19</v>
      </c>
      <c r="F10" s="7">
        <v>46296.475694444445</v>
      </c>
      <c r="G10" s="7">
        <v>35370</v>
      </c>
      <c r="H10" s="8">
        <f t="shared" si="0"/>
        <v>29.915060080614499</v>
      </c>
      <c r="I10" s="4">
        <v>39.369999999999997</v>
      </c>
      <c r="J10" s="4">
        <v>0.5</v>
      </c>
      <c r="K10" s="8">
        <v>10.539</v>
      </c>
      <c r="L10" s="8">
        <f t="shared" si="1"/>
        <v>6.5769729628991871E-2</v>
      </c>
      <c r="M10" s="4" t="s">
        <v>3</v>
      </c>
      <c r="N10" s="1"/>
      <c r="O10" s="3"/>
    </row>
    <row r="11" spans="1:16" x14ac:dyDescent="0.3">
      <c r="A11" s="4">
        <v>383.84</v>
      </c>
      <c r="B11" s="4">
        <v>8.94</v>
      </c>
      <c r="C11" s="4">
        <v>24214.68</v>
      </c>
      <c r="D11" s="4">
        <v>0.65</v>
      </c>
      <c r="E11" s="4">
        <v>5675.19</v>
      </c>
      <c r="F11" s="7">
        <v>46296.475694444445</v>
      </c>
      <c r="G11" s="7">
        <v>35370</v>
      </c>
      <c r="H11" s="8">
        <f t="shared" si="0"/>
        <v>29.915060080614499</v>
      </c>
      <c r="I11" s="4">
        <v>39.369999999999997</v>
      </c>
      <c r="J11" s="4">
        <v>0.5</v>
      </c>
      <c r="K11" s="8">
        <v>10.539</v>
      </c>
      <c r="L11" s="8">
        <f t="shared" si="1"/>
        <v>6.5769729628991871E-2</v>
      </c>
      <c r="M11" s="4" t="s">
        <v>3</v>
      </c>
      <c r="N11" s="1"/>
      <c r="O11" s="3"/>
    </row>
    <row r="12" spans="1:16" x14ac:dyDescent="0.3">
      <c r="A12" s="4"/>
      <c r="B12" s="4"/>
      <c r="C12" s="4"/>
      <c r="D12" s="4"/>
      <c r="E12" s="4"/>
      <c r="N12" s="1"/>
      <c r="O12" s="3"/>
    </row>
    <row r="13" spans="1:16" x14ac:dyDescent="0.3">
      <c r="A13" s="4"/>
      <c r="B13" s="4"/>
      <c r="C13" s="4"/>
      <c r="D13" s="4"/>
      <c r="E13" s="4"/>
      <c r="N13" s="1"/>
      <c r="O13" s="3"/>
    </row>
    <row r="14" spans="1:16" x14ac:dyDescent="0.3">
      <c r="A14" s="4"/>
      <c r="B14" s="4"/>
      <c r="C14" s="4"/>
      <c r="D14" s="4"/>
      <c r="E14" s="4"/>
      <c r="N14" s="1"/>
      <c r="O14" s="3"/>
    </row>
    <row r="15" spans="1:16" x14ac:dyDescent="0.3">
      <c r="A15" s="4"/>
      <c r="B15" s="4"/>
      <c r="C15" s="4"/>
      <c r="D15" s="4"/>
      <c r="E15" s="9"/>
      <c r="N15" s="1"/>
      <c r="O15" s="3"/>
    </row>
    <row r="16" spans="1:16" x14ac:dyDescent="0.3">
      <c r="A16" s="4"/>
      <c r="B16" s="4"/>
      <c r="C16" s="4"/>
      <c r="D16" s="4"/>
      <c r="E16" s="9"/>
      <c r="N16" s="1"/>
      <c r="O16" s="3"/>
    </row>
    <row r="17" spans="5:15" x14ac:dyDescent="0.3">
      <c r="E17" s="9"/>
      <c r="N17" s="1"/>
      <c r="O17" s="3"/>
    </row>
    <row r="18" spans="5:15" x14ac:dyDescent="0.3">
      <c r="E18" s="9"/>
      <c r="N18" s="1"/>
      <c r="O18" s="3"/>
    </row>
    <row r="19" spans="5:15" x14ac:dyDescent="0.3">
      <c r="E19" s="9"/>
      <c r="N19" s="1"/>
      <c r="O19" s="3"/>
    </row>
    <row r="20" spans="5:15" x14ac:dyDescent="0.3">
      <c r="E20" s="9"/>
      <c r="N20" s="1"/>
      <c r="O20" s="3"/>
    </row>
    <row r="21" spans="5:15" x14ac:dyDescent="0.3">
      <c r="E21" s="9"/>
      <c r="N21" s="1"/>
    </row>
    <row r="22" spans="5:15" x14ac:dyDescent="0.3">
      <c r="E22" s="9"/>
    </row>
    <row r="23" spans="5:15" x14ac:dyDescent="0.3">
      <c r="E23" s="9"/>
    </row>
    <row r="24" spans="5:15" x14ac:dyDescent="0.3">
      <c r="E24" s="9"/>
    </row>
    <row r="25" spans="5:15" x14ac:dyDescent="0.3">
      <c r="E25" s="9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Ákos Csolti</dc:creator>
  <cp:lastModifiedBy>Ákos Csolti</cp:lastModifiedBy>
  <dcterms:created xsi:type="dcterms:W3CDTF">2026-10-01T09:08:19Z</dcterms:created>
  <dcterms:modified xsi:type="dcterms:W3CDTF">2026-10-02T09:12:09Z</dcterms:modified>
</cp:coreProperties>
</file>